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7415C643-3F39-436C-A567-70D215F82E87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SalesData" sheetId="1" r:id="rId1"/>
    <sheet name="Calculations" sheetId="2" r:id="rId2"/>
    <sheet name="Dashboar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5" i="2" l="1"/>
  <c r="N4" i="2"/>
  <c r="N3" i="2"/>
  <c r="N2" i="2"/>
  <c r="K5" i="2"/>
  <c r="K4" i="2"/>
  <c r="K3" i="2"/>
  <c r="K2" i="2"/>
  <c r="H2" i="2"/>
  <c r="H6" i="2"/>
  <c r="H4" i="2"/>
  <c r="H5" i="2"/>
  <c r="H3" i="2"/>
  <c r="E4" i="2"/>
  <c r="E3" i="2"/>
  <c r="E2" i="2"/>
  <c r="E4" i="3"/>
  <c r="B6" i="2"/>
  <c r="B4" i="2"/>
  <c r="C4" i="3" s="1"/>
  <c r="B3" i="2"/>
  <c r="B2" i="2"/>
  <c r="A4" i="3" s="1"/>
  <c r="B4" i="3" l="1"/>
  <c r="B5" i="2"/>
  <c r="D4" i="3" s="1"/>
</calcChain>
</file>

<file path=xl/sharedStrings.xml><?xml version="1.0" encoding="utf-8"?>
<sst xmlns="http://schemas.openxmlformats.org/spreadsheetml/2006/main" count="90" uniqueCount="53">
  <si>
    <t>Order Id</t>
  </si>
  <si>
    <t>Date</t>
  </si>
  <si>
    <t>Product</t>
  </si>
  <si>
    <t>Category</t>
  </si>
  <si>
    <t>Region</t>
  </si>
  <si>
    <t>SalesPerson</t>
  </si>
  <si>
    <t>Sales</t>
  </si>
  <si>
    <t>Profit</t>
  </si>
  <si>
    <t>laptop</t>
  </si>
  <si>
    <t>electronics</t>
  </si>
  <si>
    <t>south</t>
  </si>
  <si>
    <t>Ravi</t>
  </si>
  <si>
    <t>mobile</t>
  </si>
  <si>
    <t>north</t>
  </si>
  <si>
    <t>Priya</t>
  </si>
  <si>
    <t>chair</t>
  </si>
  <si>
    <t>furniture</t>
  </si>
  <si>
    <t>east</t>
  </si>
  <si>
    <t>Arjun</t>
  </si>
  <si>
    <t>table</t>
  </si>
  <si>
    <t>west</t>
  </si>
  <si>
    <t>Sneha</t>
  </si>
  <si>
    <t>headphones</t>
  </si>
  <si>
    <t>accessories</t>
  </si>
  <si>
    <t xml:space="preserve"> 15-01-2026</t>
  </si>
  <si>
    <t>18-01-2026</t>
  </si>
  <si>
    <t>22-01-2026</t>
  </si>
  <si>
    <t xml:space="preserve">chair </t>
  </si>
  <si>
    <t>25-01-2026</t>
  </si>
  <si>
    <t>28-01-2026</t>
  </si>
  <si>
    <t>KPI</t>
  </si>
  <si>
    <t>Value</t>
  </si>
  <si>
    <t>Total sales</t>
  </si>
  <si>
    <t>Total Sales</t>
  </si>
  <si>
    <t>Regions</t>
  </si>
  <si>
    <t>Salesperson</t>
  </si>
  <si>
    <t>Electronics</t>
  </si>
  <si>
    <t>Laptop</t>
  </si>
  <si>
    <t>South</t>
  </si>
  <si>
    <t>Total Profit</t>
  </si>
  <si>
    <t>Furniture</t>
  </si>
  <si>
    <t>Mobile</t>
  </si>
  <si>
    <t>North</t>
  </si>
  <si>
    <t>Total Orders</t>
  </si>
  <si>
    <t>Accessories</t>
  </si>
  <si>
    <t>Chair</t>
  </si>
  <si>
    <t>East</t>
  </si>
  <si>
    <t>Profit Margin</t>
  </si>
  <si>
    <t>Table</t>
  </si>
  <si>
    <t>West</t>
  </si>
  <si>
    <t>Growth</t>
  </si>
  <si>
    <t>Headphones</t>
  </si>
  <si>
    <t>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</si>
</sst>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applyNumberFormat="1"/>
    <xf numFmtId="10" fontId="0" fillId="0" borderId="0" xfId="0" applyNumberFormat="1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0" fontId="0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Calculations!$D$2:$D$4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Accessories</c:v>
                </c:pt>
              </c:strCache>
            </c:strRef>
          </c:cat>
          <c:val>
            <c:numRef>
              <c:f>Calculations!$E$2:$E$4</c:f>
              <c:numCache>
                <c:formatCode>[$₹-4009]\ #,##0.00</c:formatCode>
                <c:ptCount val="3"/>
                <c:pt idx="0">
                  <c:v>173000</c:v>
                </c:pt>
                <c:pt idx="1">
                  <c:v>60000</c:v>
                </c:pt>
                <c:pt idx="2">
                  <c:v>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EB-4659-B928-CE100D7E8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6586760"/>
        <c:axId val="1408045064"/>
      </c:barChart>
      <c:catAx>
        <c:axId val="1936586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045064"/>
        <c:crosses val="autoZero"/>
        <c:auto val="1"/>
        <c:lblAlgn val="ctr"/>
        <c:lblOffset val="100"/>
        <c:noMultiLvlLbl val="0"/>
      </c:catAx>
      <c:valAx>
        <c:axId val="1408045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586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Calculations!$H$1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Calculations!$G$2:$G$6</c:f>
              <c:strCache>
                <c:ptCount val="5"/>
                <c:pt idx="0">
                  <c:v>Laptop</c:v>
                </c:pt>
                <c:pt idx="1">
                  <c:v>Mobile</c:v>
                </c:pt>
                <c:pt idx="2">
                  <c:v>Chair</c:v>
                </c:pt>
                <c:pt idx="3">
                  <c:v>Table</c:v>
                </c:pt>
                <c:pt idx="4">
                  <c:v>Headphones</c:v>
                </c:pt>
              </c:strCache>
            </c:strRef>
          </c:cat>
          <c:val>
            <c:numRef>
              <c:f>Calculations!$H$2:$H$6</c:f>
              <c:numCache>
                <c:formatCode>[$₹-4009]\ #,##0.00</c:formatCode>
                <c:ptCount val="5"/>
                <c:pt idx="0">
                  <c:v>115000</c:v>
                </c:pt>
                <c:pt idx="1">
                  <c:v>58000</c:v>
                </c:pt>
                <c:pt idx="2">
                  <c:v>22000</c:v>
                </c:pt>
                <c:pt idx="3">
                  <c:v>38000</c:v>
                </c:pt>
                <c:pt idx="4">
                  <c:v>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9-4DD8-81CB-19F7C17BF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2894728"/>
        <c:axId val="1326072328"/>
      </c:barChart>
      <c:catAx>
        <c:axId val="1332894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072328"/>
        <c:crosses val="autoZero"/>
        <c:auto val="1"/>
        <c:lblAlgn val="ctr"/>
        <c:lblOffset val="100"/>
        <c:noMultiLvlLbl val="0"/>
      </c:catAx>
      <c:valAx>
        <c:axId val="1326072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894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Calculations!$K$1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Calculations!$J$2:$J$5</c:f>
              <c:strCache>
                <c:ptCount val="4"/>
                <c:pt idx="0">
                  <c:v>South</c:v>
                </c:pt>
                <c:pt idx="1">
                  <c:v>North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Calculations!$K$2:$K$5</c:f>
              <c:numCache>
                <c:formatCode>[$₹-4009]\ #,##0.00</c:formatCode>
                <c:ptCount val="4"/>
                <c:pt idx="0">
                  <c:v>80000</c:v>
                </c:pt>
                <c:pt idx="1">
                  <c:v>40000</c:v>
                </c:pt>
                <c:pt idx="2">
                  <c:v>78000</c:v>
                </c:pt>
                <c:pt idx="3">
                  <c:v>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B8-4114-978E-B7FD1C74B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4098568"/>
        <c:axId val="1324100616"/>
      </c:barChart>
      <c:catAx>
        <c:axId val="1324098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100616"/>
        <c:crosses val="autoZero"/>
        <c:auto val="1"/>
        <c:lblAlgn val="ctr"/>
        <c:lblOffset val="100"/>
        <c:noMultiLvlLbl val="0"/>
      </c:catAx>
      <c:valAx>
        <c:axId val="1324100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098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Calculations!$N$1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Calculations!$M$2:$M$5</c:f>
              <c:strCache>
                <c:ptCount val="4"/>
                <c:pt idx="0">
                  <c:v>Ravi</c:v>
                </c:pt>
                <c:pt idx="1">
                  <c:v>Priya</c:v>
                </c:pt>
                <c:pt idx="2">
                  <c:v>Arjun</c:v>
                </c:pt>
                <c:pt idx="3">
                  <c:v>Sneha</c:v>
                </c:pt>
              </c:strCache>
            </c:strRef>
          </c:cat>
          <c:val>
            <c:numRef>
              <c:f>Calculations!$N$2:$N$5</c:f>
              <c:numCache>
                <c:formatCode>[$₹-4009]\ #,##0.00</c:formatCode>
                <c:ptCount val="4"/>
                <c:pt idx="0">
                  <c:v>80000</c:v>
                </c:pt>
                <c:pt idx="1">
                  <c:v>40000</c:v>
                </c:pt>
                <c:pt idx="2">
                  <c:v>78000</c:v>
                </c:pt>
                <c:pt idx="3">
                  <c:v>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2-4E4D-8449-4210FEDFB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2495880"/>
        <c:axId val="1332518408"/>
      </c:barChart>
      <c:catAx>
        <c:axId val="1332495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518408"/>
        <c:crosses val="autoZero"/>
        <c:auto val="1"/>
        <c:lblAlgn val="ctr"/>
        <c:lblOffset val="100"/>
        <c:noMultiLvlLbl val="0"/>
      </c:catAx>
      <c:valAx>
        <c:axId val="133251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495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26</xdr:row>
      <xdr:rowOff>161925</xdr:rowOff>
    </xdr:from>
    <xdr:to>
      <xdr:col>5</xdr:col>
      <xdr:colOff>276225</xdr:colOff>
      <xdr:row>45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BD9614-3A3C-49CA-8703-6F09372D150A}"/>
            </a:ext>
            <a:ext uri="{147F2762-F138-4A5C-976F-8EAC2B608ADB}">
              <a16:predDERef xmlns:a16="http://schemas.microsoft.com/office/drawing/2014/main" pred="{9976D53B-D4FD-482B-9DAA-1695A72B7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609600</xdr:colOff>
      <xdr:row>7</xdr:row>
      <xdr:rowOff>38100</xdr:rowOff>
    </xdr:from>
    <xdr:to>
      <xdr:col>5</xdr:col>
      <xdr:colOff>266700</xdr:colOff>
      <xdr:row>25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901C17-752E-48F1-9533-DD542F26DBFA}"/>
            </a:ext>
            <a:ext uri="{147F2762-F138-4A5C-976F-8EAC2B608ADB}">
              <a16:predDERef xmlns:a16="http://schemas.microsoft.com/office/drawing/2014/main" pred="{E7BD9614-3A3C-49CA-8703-6F09372D15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276225</xdr:colOff>
      <xdr:row>7</xdr:row>
      <xdr:rowOff>66675</xdr:rowOff>
    </xdr:from>
    <xdr:to>
      <xdr:col>14</xdr:col>
      <xdr:colOff>295275</xdr:colOff>
      <xdr:row>26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423D983-41B9-47FD-B5E1-0676D6299158}"/>
            </a:ext>
            <a:ext uri="{147F2762-F138-4A5C-976F-8EAC2B608ADB}">
              <a16:predDERef xmlns:a16="http://schemas.microsoft.com/office/drawing/2014/main" pred="{6D901C17-752E-48F1-9533-DD542F26DB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257175</xdr:colOff>
      <xdr:row>26</xdr:row>
      <xdr:rowOff>161925</xdr:rowOff>
    </xdr:from>
    <xdr:to>
      <xdr:col>14</xdr:col>
      <xdr:colOff>257175</xdr:colOff>
      <xdr:row>45</xdr:row>
      <xdr:rowOff>66675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0A6A69D-8076-4247-8E46-3F3BBB94DC92}"/>
            </a:ext>
            <a:ext uri="{147F2762-F138-4A5C-976F-8EAC2B608ADB}">
              <a16:predDERef xmlns:a16="http://schemas.microsoft.com/office/drawing/2014/main" pred="{4423D983-41B9-47FD-B5E1-0676D6299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93C2B8-9FEF-4246-A626-09EDAE7FDE91}" name="SalesData" displayName="SalesData" ref="A1:H11" totalsRowShown="0">
  <autoFilter ref="A1:H11" xr:uid="{0F93C2B8-9FEF-4246-A626-09EDAE7FDE91}"/>
  <tableColumns count="8">
    <tableColumn id="1" xr3:uid="{F07A0F77-073E-4D8F-AAC3-31C6302E8EBD}" name="Order Id"/>
    <tableColumn id="2" xr3:uid="{FEBA406C-3C44-4D0F-AC89-316E507AC3FF}" name="Date" dataDxfId="0"/>
    <tableColumn id="3" xr3:uid="{2E109799-8972-4BCC-AC74-7BFBEB8042BC}" name="Product"/>
    <tableColumn id="4" xr3:uid="{2268E2B5-0DE3-4C2A-9229-85FA56E8A54B}" name="Category"/>
    <tableColumn id="5" xr3:uid="{56F0980D-9D2C-40DC-A359-6C6F0FD46A51}" name="Region"/>
    <tableColumn id="6" xr3:uid="{1D69EC08-A851-4207-A864-1CA6174E1960}" name="SalesPerson"/>
    <tableColumn id="7" xr3:uid="{DA78D35B-AF5C-4C11-B9B0-C365043A84CD}" name="Sales"/>
    <tableColumn id="8" xr3:uid="{96270D80-FFCA-4B4B-97E2-B17067D4E2C9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activeCell="J17" sqref="J17"/>
    </sheetView>
  </sheetViews>
  <sheetFormatPr defaultRowHeight="15"/>
  <cols>
    <col min="1" max="1" width="16" customWidth="1"/>
    <col min="2" max="2" width="17.42578125" customWidth="1"/>
    <col min="3" max="3" width="13.7109375" customWidth="1"/>
    <col min="4" max="4" width="18.5703125" customWidth="1"/>
    <col min="5" max="5" width="12.85546875" customWidth="1"/>
    <col min="6" max="6" width="18.5703125" customWidth="1"/>
    <col min="7" max="7" width="11.7109375" customWidth="1"/>
    <col min="8" max="8" width="17" customWidth="1"/>
    <col min="12" max="12" width="9.5703125" customWidth="1"/>
  </cols>
  <sheetData>
    <row r="1" spans="1:8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1001</v>
      </c>
      <c r="B2" s="1">
        <v>46023</v>
      </c>
      <c r="C2" t="s">
        <v>8</v>
      </c>
      <c r="D2" t="s">
        <v>9</v>
      </c>
      <c r="E2" t="s">
        <v>10</v>
      </c>
      <c r="F2" t="s">
        <v>11</v>
      </c>
      <c r="G2">
        <v>55000</v>
      </c>
      <c r="H2">
        <v>8000</v>
      </c>
    </row>
    <row r="3" spans="1:8">
      <c r="A3">
        <v>1002</v>
      </c>
      <c r="B3" s="1">
        <v>46082</v>
      </c>
      <c r="C3" t="s">
        <v>12</v>
      </c>
      <c r="D3" t="s">
        <v>9</v>
      </c>
      <c r="E3" t="s">
        <v>13</v>
      </c>
      <c r="F3" t="s">
        <v>14</v>
      </c>
      <c r="G3">
        <v>30000</v>
      </c>
      <c r="H3">
        <v>5000</v>
      </c>
    </row>
    <row r="4" spans="1:8">
      <c r="A4">
        <v>1003</v>
      </c>
      <c r="B4" s="1">
        <v>46143</v>
      </c>
      <c r="C4" t="s">
        <v>15</v>
      </c>
      <c r="D4" t="s">
        <v>16</v>
      </c>
      <c r="E4" t="s">
        <v>17</v>
      </c>
      <c r="F4" t="s">
        <v>18</v>
      </c>
      <c r="G4">
        <v>12000</v>
      </c>
      <c r="H4">
        <v>2500</v>
      </c>
    </row>
    <row r="5" spans="1:8">
      <c r="A5">
        <v>1004</v>
      </c>
      <c r="B5" s="1">
        <v>46235</v>
      </c>
      <c r="C5" t="s">
        <v>19</v>
      </c>
      <c r="D5" t="s">
        <v>16</v>
      </c>
      <c r="E5" t="s">
        <v>20</v>
      </c>
      <c r="F5" t="s">
        <v>21</v>
      </c>
      <c r="G5">
        <v>18000</v>
      </c>
      <c r="H5">
        <v>3500</v>
      </c>
    </row>
    <row r="6" spans="1:8">
      <c r="A6">
        <v>1005</v>
      </c>
      <c r="B6" s="1">
        <v>46296</v>
      </c>
      <c r="C6" t="s">
        <v>22</v>
      </c>
      <c r="D6" t="s">
        <v>23</v>
      </c>
      <c r="E6" t="s">
        <v>10</v>
      </c>
      <c r="F6" t="s">
        <v>11</v>
      </c>
      <c r="G6">
        <v>5000</v>
      </c>
      <c r="H6">
        <v>1200</v>
      </c>
    </row>
    <row r="7" spans="1:8">
      <c r="A7">
        <v>1006</v>
      </c>
      <c r="B7" s="1" t="s">
        <v>24</v>
      </c>
      <c r="C7" t="s">
        <v>8</v>
      </c>
      <c r="D7" t="s">
        <v>9</v>
      </c>
      <c r="E7" t="s">
        <v>17</v>
      </c>
      <c r="F7" t="s">
        <v>18</v>
      </c>
      <c r="G7">
        <v>60000</v>
      </c>
      <c r="H7">
        <v>9000</v>
      </c>
    </row>
    <row r="8" spans="1:8">
      <c r="A8">
        <v>1007</v>
      </c>
      <c r="B8" s="1" t="s">
        <v>25</v>
      </c>
      <c r="C8" t="s">
        <v>12</v>
      </c>
      <c r="D8" t="s">
        <v>9</v>
      </c>
      <c r="E8" t="s">
        <v>20</v>
      </c>
      <c r="F8" t="s">
        <v>21</v>
      </c>
      <c r="G8">
        <v>28000</v>
      </c>
      <c r="H8">
        <v>4500</v>
      </c>
    </row>
    <row r="9" spans="1:8">
      <c r="A9">
        <v>1008</v>
      </c>
      <c r="B9" s="1" t="s">
        <v>26</v>
      </c>
      <c r="C9" t="s">
        <v>27</v>
      </c>
      <c r="D9" t="s">
        <v>16</v>
      </c>
      <c r="E9" t="s">
        <v>13</v>
      </c>
      <c r="F9" t="s">
        <v>14</v>
      </c>
      <c r="G9">
        <v>10000</v>
      </c>
      <c r="H9">
        <v>2000</v>
      </c>
    </row>
    <row r="10" spans="1:8">
      <c r="A10">
        <v>1009</v>
      </c>
      <c r="B10" s="1" t="s">
        <v>28</v>
      </c>
      <c r="C10" t="s">
        <v>19</v>
      </c>
      <c r="D10" t="s">
        <v>16</v>
      </c>
      <c r="E10" t="s">
        <v>10</v>
      </c>
      <c r="F10" t="s">
        <v>11</v>
      </c>
      <c r="G10">
        <v>20000</v>
      </c>
      <c r="H10">
        <v>4000</v>
      </c>
    </row>
    <row r="11" spans="1:8">
      <c r="A11">
        <v>1010</v>
      </c>
      <c r="B11" s="1" t="s">
        <v>29</v>
      </c>
      <c r="C11" t="s">
        <v>22</v>
      </c>
      <c r="D11" t="s">
        <v>23</v>
      </c>
      <c r="E11" t="s">
        <v>17</v>
      </c>
      <c r="F11" t="s">
        <v>18</v>
      </c>
      <c r="G11">
        <v>6000</v>
      </c>
      <c r="H11">
        <v>1500</v>
      </c>
    </row>
    <row r="14" spans="1:8">
      <c r="C14" s="2"/>
    </row>
    <row r="15" spans="1:8">
      <c r="B15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CE78-E8CE-48C2-92CF-0AF1638C3CDB}">
  <dimension ref="A1:N6"/>
  <sheetViews>
    <sheetView workbookViewId="0">
      <selection activeCell="L10" sqref="L10"/>
    </sheetView>
  </sheetViews>
  <sheetFormatPr defaultRowHeight="15"/>
  <cols>
    <col min="1" max="1" width="12.7109375" bestFit="1" customWidth="1"/>
    <col min="2" max="2" width="7.7109375" bestFit="1" customWidth="1"/>
    <col min="4" max="4" width="11.5703125" customWidth="1"/>
    <col min="5" max="5" width="15.5703125" customWidth="1"/>
    <col min="7" max="7" width="12.140625" bestFit="1" customWidth="1"/>
    <col min="8" max="8" width="12.42578125" bestFit="1" customWidth="1"/>
    <col min="11" max="11" width="11.42578125" customWidth="1"/>
    <col min="13" max="13" width="11.85546875" bestFit="1" customWidth="1"/>
    <col min="14" max="14" width="11.5703125" customWidth="1"/>
  </cols>
  <sheetData>
    <row r="1" spans="1:14">
      <c r="A1" s="4" t="s">
        <v>30</v>
      </c>
      <c r="B1" s="4" t="s">
        <v>31</v>
      </c>
      <c r="D1" s="4" t="s">
        <v>3</v>
      </c>
      <c r="E1" s="6" t="s">
        <v>32</v>
      </c>
      <c r="G1" s="4" t="s">
        <v>2</v>
      </c>
      <c r="H1" s="4" t="s">
        <v>33</v>
      </c>
      <c r="J1" s="4" t="s">
        <v>34</v>
      </c>
      <c r="K1" s="6" t="s">
        <v>33</v>
      </c>
      <c r="M1" s="4" t="s">
        <v>35</v>
      </c>
      <c r="N1" s="6" t="s">
        <v>33</v>
      </c>
    </row>
    <row r="2" spans="1:14">
      <c r="A2" t="s">
        <v>33</v>
      </c>
      <c r="B2">
        <f>SUM(SalesData[Sales])</f>
        <v>244000</v>
      </c>
      <c r="D2" t="s">
        <v>36</v>
      </c>
      <c r="E2" s="5">
        <f>SUMIF(SalesData[Category],D2,SalesData[Sales])</f>
        <v>173000</v>
      </c>
      <c r="F2" s="5"/>
      <c r="G2" t="s">
        <v>37</v>
      </c>
      <c r="H2" s="5">
        <f>SUMIF(SalesData!C2:C11,G2,SalesData!G2:G11)</f>
        <v>115000</v>
      </c>
      <c r="J2" t="s">
        <v>38</v>
      </c>
      <c r="K2" s="5">
        <f>SUMIF(SalesData!E2:E11,"South",SalesData!G2:G11)</f>
        <v>80000</v>
      </c>
      <c r="M2" t="s">
        <v>11</v>
      </c>
      <c r="N2" s="5">
        <f>SUMIF(SalesData!F2:F11,"Ravi",SalesData!G2:G11)</f>
        <v>80000</v>
      </c>
    </row>
    <row r="3" spans="1:14">
      <c r="A3" t="s">
        <v>39</v>
      </c>
      <c r="B3">
        <f>SUM(SalesData[Profit])</f>
        <v>41200</v>
      </c>
      <c r="D3" t="s">
        <v>40</v>
      </c>
      <c r="E3" s="5">
        <f>SUMIF(SalesData!D2:D11,"Furniture",SalesData!G2:G11)</f>
        <v>60000</v>
      </c>
      <c r="F3" s="5"/>
      <c r="G3" t="s">
        <v>41</v>
      </c>
      <c r="H3" s="5">
        <f>SUMIF(SalesData!C3:C12,G3,SalesData!G3:G12)</f>
        <v>58000</v>
      </c>
      <c r="J3" t="s">
        <v>42</v>
      </c>
      <c r="K3" s="5">
        <f>SUMIF(SalesData!E2:E11,"North",SalesData!G2:G11)</f>
        <v>40000</v>
      </c>
      <c r="M3" t="s">
        <v>14</v>
      </c>
      <c r="N3" s="5">
        <f>SUMIF(SalesData!F2:F11,"Priya",SalesData!G2:G11)</f>
        <v>40000</v>
      </c>
    </row>
    <row r="4" spans="1:14">
      <c r="A4" t="s">
        <v>43</v>
      </c>
      <c r="B4">
        <f>COUNTA(SalesData[Order Id])</f>
        <v>10</v>
      </c>
      <c r="D4" t="s">
        <v>44</v>
      </c>
      <c r="E4" s="5">
        <f>SUMIF(SalesData!D2:D11,"Accessories",SalesData!G2:G11)</f>
        <v>11000</v>
      </c>
      <c r="F4" s="5"/>
      <c r="G4" t="s">
        <v>45</v>
      </c>
      <c r="H4" s="5">
        <f>SUMIF(SalesData!C2:C11,"*Chair*",SalesData!G2:G11)</f>
        <v>22000</v>
      </c>
      <c r="J4" t="s">
        <v>46</v>
      </c>
      <c r="K4" s="5">
        <f>SUMIF(SalesData!E2:E11,"East",SalesData!G2:G11)</f>
        <v>78000</v>
      </c>
      <c r="M4" t="s">
        <v>18</v>
      </c>
      <c r="N4" s="5">
        <f>SUMIF(SalesData!F2:F11,"Arjun",SalesData!G2:G11)</f>
        <v>78000</v>
      </c>
    </row>
    <row r="5" spans="1:14">
      <c r="A5" t="s">
        <v>47</v>
      </c>
      <c r="B5" s="3">
        <f>B3/B2</f>
        <v>0.16885245901639345</v>
      </c>
      <c r="G5" t="s">
        <v>48</v>
      </c>
      <c r="H5" s="5">
        <f>SUMIF(SalesData!C2:C11,"Table",SalesData!G2:G11)</f>
        <v>38000</v>
      </c>
      <c r="J5" t="s">
        <v>49</v>
      </c>
      <c r="K5" s="5">
        <f>SUMIF(SalesData!E2:E11,"West",SalesData!G2:G11)</f>
        <v>46000</v>
      </c>
      <c r="M5" t="s">
        <v>21</v>
      </c>
      <c r="N5" s="5">
        <f>SUMIF(SalesData!F2:F11,"Sneha",SalesData!G2:G11)</f>
        <v>46000</v>
      </c>
    </row>
    <row r="6" spans="1:14">
      <c r="A6" t="s">
        <v>50</v>
      </c>
      <c r="B6" s="3">
        <f>0</f>
        <v>0</v>
      </c>
      <c r="G6" t="s">
        <v>51</v>
      </c>
      <c r="H6" s="5">
        <f>SUMIF(SalesData!C2:C11,"Headphones",SalesData!G2:G11)</f>
        <v>11000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2DA1D-CF1C-40FC-8188-3B8BA21776A0}">
  <dimension ref="A1:E4"/>
  <sheetViews>
    <sheetView tabSelected="1" workbookViewId="0">
      <selection activeCell="A4" sqref="A4:E4"/>
    </sheetView>
  </sheetViews>
  <sheetFormatPr defaultRowHeight="15"/>
  <cols>
    <col min="1" max="1" width="29.28515625" customWidth="1"/>
    <col min="2" max="2" width="12.5703125" customWidth="1"/>
    <col min="3" max="3" width="12" customWidth="1"/>
    <col min="4" max="4" width="12.7109375" customWidth="1"/>
    <col min="5" max="5" width="13.42578125" customWidth="1"/>
  </cols>
  <sheetData>
    <row r="1" spans="1:5">
      <c r="A1" s="7" t="s">
        <v>52</v>
      </c>
    </row>
    <row r="3" spans="1:5">
      <c r="A3" s="8" t="s">
        <v>33</v>
      </c>
      <c r="B3" s="8" t="s">
        <v>39</v>
      </c>
      <c r="C3" s="8" t="s">
        <v>43</v>
      </c>
      <c r="D3" s="8" t="s">
        <v>47</v>
      </c>
      <c r="E3" s="8" t="s">
        <v>50</v>
      </c>
    </row>
    <row r="4" spans="1:5">
      <c r="A4" s="9">
        <f>Calculations!B2</f>
        <v>244000</v>
      </c>
      <c r="B4" s="9">
        <f>Calculations!B3</f>
        <v>41200</v>
      </c>
      <c r="C4" s="10">
        <f>Calculations!B4</f>
        <v>10</v>
      </c>
      <c r="D4" s="11">
        <f>Calculations!B5</f>
        <v>0.16885245901639345</v>
      </c>
      <c r="E4" s="11">
        <f>Calculations!B6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2026-10-07T15:48:19Z</dcterms:created>
  <dcterms:modified xsi:type="dcterms:W3CDTF">2026-10-08T12:59:21Z</dcterms:modified>
  <cp:category/>
  <cp:contentStatus/>
</cp:coreProperties>
</file>